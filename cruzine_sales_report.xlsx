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90" windowHeight="12300" tabRatio="500" activeTab="1"/>
  </bookViews>
  <sheets>
    <sheet name="Sales Transactions" sheetId="1" r:id="rId1"/>
    <sheet name="pivot table" sheetId="4" r:id="rId2"/>
    <sheet name="chanelwise analysis" sheetId="5" r:id="rId3"/>
    <sheet name="Summary &amp; Analysis" sheetId="2" r:id="rId4"/>
    <sheet name="Key Insights" sheetId="3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<sst xmlns="http://schemas.openxmlformats.org/spreadsheetml/2006/main" count="180" uniqueCount="103">
  <si>
    <t>Cruzine Healthcare Pvt. Ltd. — Item-wise Sales History Report</t>
  </si>
  <si>
    <t>Period: 01-03-2026 to 31-03-2026  |  Item: STO-ITEM-2024-00004-Adult-PVC (Nebulizer Mask)  |  Company: Cruzine Healthcare Pvt. Ltd.</t>
  </si>
  <si>
    <t>Number</t>
  </si>
  <si>
    <t>Item Code</t>
  </si>
  <si>
    <t>Item Name</t>
  </si>
  <si>
    <t>Item Group</t>
  </si>
  <si>
    <t>Description</t>
  </si>
  <si>
    <t>Qty (Nos)</t>
  </si>
  <si>
    <t>Rate (₹)</t>
  </si>
  <si>
    <t>Amount (₹)</t>
  </si>
  <si>
    <t>Sales Order</t>
  </si>
  <si>
    <t>Transaction Date</t>
  </si>
  <si>
    <t>Customer</t>
  </si>
  <si>
    <t>Customer Name</t>
  </si>
  <si>
    <t>Customer Group</t>
  </si>
  <si>
    <t>Territory</t>
  </si>
  <si>
    <t>STO-ITEM-2024-00004-Adult-PVC</t>
  </si>
  <si>
    <t>Nebulizer Mask - Adult PVC</t>
  </si>
  <si>
    <t>Anesthesia</t>
  </si>
  <si>
    <t>SO/CH/RG/...</t>
  </si>
  <si>
    <t>07-03-2026</t>
  </si>
  <si>
    <t>Maruti Ente...</t>
  </si>
  <si>
    <t>Maruti Enterprises</t>
  </si>
  <si>
    <t>B2B Telecaller</t>
  </si>
  <si>
    <t>Patna</t>
  </si>
  <si>
    <t>02-03-2026</t>
  </si>
  <si>
    <t>D D Global</t>
  </si>
  <si>
    <t>Valsad</t>
  </si>
  <si>
    <t>13-03-2026</t>
  </si>
  <si>
    <t>Raj Enterpr...</t>
  </si>
  <si>
    <t>Raj Enterprises</t>
  </si>
  <si>
    <t>Ranchi</t>
  </si>
  <si>
    <t>SO/CH/GE/...</t>
  </si>
  <si>
    <t>18-03-2026</t>
  </si>
  <si>
    <t>Employees...</t>
  </si>
  <si>
    <t>Employees State ...</t>
  </si>
  <si>
    <t>GeM Portal</t>
  </si>
  <si>
    <t>Parwanoo</t>
  </si>
  <si>
    <t>17-03-2026</t>
  </si>
  <si>
    <t>Falcon Hea...</t>
  </si>
  <si>
    <t>Falcon Healthcare</t>
  </si>
  <si>
    <t>Social Media</t>
  </si>
  <si>
    <t>Surat</t>
  </si>
  <si>
    <t>TOTAL</t>
  </si>
  <si>
    <t>(ALL)</t>
  </si>
  <si>
    <t>Channel</t>
  </si>
  <si>
    <t>Sum of Amount (₹)</t>
  </si>
  <si>
    <t>Sum of Quantity</t>
  </si>
  <si>
    <t>Sum of Rate (₹)</t>
  </si>
  <si>
    <t>Sum of Billed Amt (₹)</t>
  </si>
  <si>
    <t>Sum of % of Total</t>
  </si>
  <si>
    <t>(blank)</t>
  </si>
  <si>
    <t>Grand Total</t>
  </si>
  <si>
    <t>Orders</t>
  </si>
  <si>
    <t>Sum of Orders</t>
  </si>
  <si>
    <t>Sum of % Share</t>
  </si>
  <si>
    <t>Cruzine Healthcare — Sales Summary | March 2026 | Nebulizer Mask Adult PVC</t>
  </si>
  <si>
    <t>Total Quantity Sold</t>
  </si>
  <si>
    <t>Total Sales Amount</t>
  </si>
  <si>
    <t>Total Orders</t>
  </si>
  <si>
    <t>Avg Rate per Unit</t>
  </si>
  <si>
    <t>Billed Amount</t>
  </si>
  <si>
    <t>1,362 Nos</t>
  </si>
  <si>
    <t>₹31,324.40</t>
  </si>
  <si>
    <t>5</t>
  </si>
  <si>
    <t>₹22.977</t>
  </si>
  <si>
    <t>₹25,804.40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</si>
  <si>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</si>
  <si>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</si>
  <si>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</si>
  <si>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</si>
  <si>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</si>
  <si>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</si>
  <si>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</si>
  <si>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</si>
  <si>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Quantity</t>
  </si>
  <si>
    <t>Billed Amt (₹)</t>
  </si>
  <si>
    <t>% of Total</t>
  </si>
  <si>
    <t>Channel-wise Summary</t>
  </si>
  <si>
    <t>% Share</t>
  </si>
  <si>
    <t>Key Business Insights — Nebulizer Mask Adult PVC | March 2026</t>
  </si>
  <si>
    <t>▸  Dominant Order</t>
  </si>
  <si>
    <t>D D Global (Valsad) contributed 76.3% of total quantity (1,040 units) in a single order.</t>
  </si>
  <si>
    <t>▸  Pricing Range</t>
  </si>
  <si>
    <t>Unit rate ranged from ₹21.892 (GeM Portal) to ₹25.00 (Maruti Enterprises) — a ₹3.11 spread.</t>
  </si>
  <si>
    <t>▸  Best Rate</t>
  </si>
  <si>
    <t>Maruti Enterprises received the highest rate (₹25/unit), indicating strong negotiation or premium channel.</t>
  </si>
  <si>
    <t>▸  Lowest Rate</t>
  </si>
  <si>
    <t>Employees State Insurance (GeM Portal) at ₹21.892 — government procurement drives lower pricing.</t>
  </si>
  <si>
    <t>▸  Channel Dominance</t>
  </si>
  <si>
    <t>B2B Telecaller is the primary sales channel: 3 of 5 orders, 85.2% of total quantity.</t>
  </si>
  <si>
    <t>▸  GeM Portal Share</t>
  </si>
  <si>
    <t>GeM Portal accounts for 14.0% of quantity and 14.0% of revenue — government segment present.</t>
  </si>
  <si>
    <t>▸  Billing Gap</t>
  </si>
  <si>
    <t>Total Sales Amount ₹31,324.40 vs. Billed Amount ₹25,804.40 — a ₹5,520 unbilled amount (17.6%).</t>
  </si>
  <si>
    <t>▸  Geographic Spread</t>
  </si>
  <si>
    <t>5 orders across 5 different cities: Patna, Valsad, Ranchi, Parwanoo, Surat — pan-India reach.</t>
  </si>
  <si>
    <t>▸  Smallest Order</t>
  </si>
  <si>
    <t>Falcon Healthcare, Surat (Social Media channel) — only 2 units worth ₹46. Low-value lead.</t>
  </si>
  <si>
    <r>
      <t>▸</t>
    </r>
    <r>
      <rPr>
        <b/>
        <sz val="10"/>
        <color rgb="FF8B0000"/>
        <rFont val="Arial"/>
        <charset val="1"/>
      </rPr>
      <t xml:space="preserve">  Avg Order Size</t>
    </r>
  </si>
  <si>
    <t>Average order: 272 units — median skewed heavily by D D Global bulk order.</t>
  </si>
  <si>
    <r>
      <t>▸</t>
    </r>
    <r>
      <rPr>
        <sz val="11"/>
        <color theme="5"/>
        <rFont val="Calibri"/>
        <charset val="1"/>
      </rPr>
      <t xml:space="preserve">  Unbilled Gap</t>
    </r>
  </si>
  <si>
    <r>
      <t>Total Sales Value:</t>
    </r>
    <r>
      <rPr>
        <sz val="12"/>
        <color theme="1"/>
        <rFont val="Google Sans Text"/>
        <charset val="1"/>
      </rPr>
      <t xml:space="preserve"> D D Global placed an order for </t>
    </r>
    <r>
      <rPr>
        <b/>
        <sz val="12"/>
        <color theme="1"/>
        <rFont val="Google Sans Text"/>
        <charset val="1"/>
      </rPr>
      <t>1,040 units</t>
    </r>
    <r>
      <rPr>
        <sz val="12"/>
        <color theme="1"/>
        <rFont val="Google Sans Text"/>
        <charset val="1"/>
      </rPr>
      <t xml:space="preserve"> at a rate of ₹</t>
    </r>
    <r>
      <rPr>
        <b/>
        <sz val="12"/>
        <color theme="1"/>
        <rFont val="Google Sans Text"/>
        <charset val="1"/>
      </rPr>
      <t>23.00</t>
    </r>
    <r>
      <rPr>
        <sz val="12"/>
        <color theme="1"/>
        <rFont val="Google Sans Text"/>
        <charset val="1"/>
      </rPr>
      <t xml:space="preserve"> per unit, totaling ₹</t>
    </r>
    <r>
      <rPr>
        <b/>
        <sz val="12"/>
        <color theme="1"/>
        <rFont val="Google Sans Text"/>
        <charset val="1"/>
      </rPr>
      <t xml:space="preserve">23,920.00 but </t>
    </r>
    <r>
      <rPr>
        <sz val="12"/>
        <color theme="1"/>
        <rFont val="Google Sans Text"/>
        <charset val="1"/>
      </rPr>
      <t>only ₹18,400.00 was actually billed for this customer.
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</si>
</sst>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₹&quot;#,##0.00"/>
    <numFmt numFmtId="177" formatCode="0.0%"/>
    <numFmt numFmtId="178" formatCode="&quot;₹&quot;#,##0.000"/>
  </numFmts>
  <fonts count="37">
    <font>
      <sz val="11"/>
      <color theme="1"/>
      <name val="Calibri"/>
      <charset val="1"/>
    </font>
    <font>
      <b/>
      <sz val="11"/>
      <color rgb="FFFFFFFF"/>
      <name val="Arial"/>
      <charset val="1"/>
    </font>
    <font>
      <b/>
      <sz val="10"/>
      <color rgb="FF8B0000"/>
      <name val="Arial"/>
      <charset val="1"/>
    </font>
    <font>
      <sz val="10"/>
      <name val="Arial"/>
      <charset val="1"/>
    </font>
    <font>
      <b/>
      <sz val="10"/>
      <color rgb="FF8B0000"/>
      <name val="Times New Roman"/>
      <charset val="1"/>
    </font>
    <font>
      <sz val="11"/>
      <color theme="5"/>
      <name val="Times New Roman"/>
      <charset val="1"/>
    </font>
    <font>
      <b/>
      <sz val="12"/>
      <color theme="1"/>
      <name val="Google Sans Text"/>
      <charset val="1"/>
    </font>
    <font>
      <b/>
      <sz val="9"/>
      <color rgb="FF8B0000"/>
      <name val="Arial"/>
      <charset val="1"/>
    </font>
    <font>
      <b/>
      <sz val="14"/>
      <color rgb="FF8B0000"/>
      <name val="Arial"/>
      <charset val="1"/>
    </font>
    <font>
      <b/>
      <sz val="10"/>
      <color rgb="FFFFFFFF"/>
      <name val="Arial"/>
      <charset val="1"/>
    </font>
    <font>
      <sz val="11"/>
      <color theme="5"/>
      <name val="Calibri"/>
      <charset val="1"/>
    </font>
    <font>
      <b/>
      <sz val="14"/>
      <color theme="1"/>
      <name val="Arial"/>
      <charset val="1"/>
    </font>
    <font>
      <i/>
      <sz val="10"/>
      <color rgb="FF8B0000"/>
      <name val="Arial"/>
      <charset val="1"/>
    </font>
    <font>
      <b/>
      <sz val="11"/>
      <color rgb="FF8B000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Google Sans Text"/>
      <charset val="1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5"/>
        <bgColor rgb="FF800000"/>
      </patternFill>
    </fill>
    <fill>
      <patternFill patternType="solid">
        <fgColor theme="3" tint="0.4"/>
        <bgColor rgb="FFFFF5F7"/>
      </patternFill>
    </fill>
    <fill>
      <patternFill patternType="solid">
        <fgColor rgb="FFFFFFFF"/>
        <bgColor rgb="FFFFF5F7"/>
      </patternFill>
    </fill>
    <fill>
      <patternFill patternType="solid">
        <fgColor theme="3" tint="0.4"/>
        <bgColor indexed="64"/>
      </patternFill>
    </fill>
    <fill>
      <patternFill patternType="solid">
        <fgColor theme="3" tint="0.4"/>
        <bgColor rgb="FF800000"/>
      </patternFill>
    </fill>
    <fill>
      <patternFill patternType="solid">
        <fgColor theme="3" tint="0.8"/>
        <bgColor rgb="FFFFF5F7"/>
      </patternFill>
    </fill>
    <fill>
      <patternFill patternType="solid">
        <fgColor rgb="FFFFF5F7"/>
        <bgColor rgb="FFFFFFFF"/>
      </patternFill>
    </fill>
    <fill>
      <patternFill patternType="solid">
        <fgColor theme="3" tint="0.6"/>
        <bgColor rgb="FF993366"/>
      </patternFill>
    </fill>
    <fill>
      <patternFill patternType="solid">
        <fgColor theme="3"/>
        <bgColor rgb="FF800000"/>
      </patternFill>
    </fill>
    <fill>
      <patternFill patternType="solid">
        <fgColor theme="3" tint="0.4"/>
        <bgColor rgb="FF993366"/>
      </patternFill>
    </fill>
    <fill>
      <patternFill patternType="solid">
        <fgColor theme="3" tint="0.8"/>
        <bgColor rgb="FF800000"/>
      </patternFill>
    </fill>
    <fill>
      <patternFill patternType="solid">
        <fgColor theme="3" tint="0.8"/>
        <bgColor rgb="FF99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0143C"/>
      </left>
      <right style="thin">
        <color rgb="FFC0143C"/>
      </right>
      <top style="thin">
        <color rgb="FFC0143C"/>
      </top>
      <bottom style="thin">
        <color rgb="FFC0143C"/>
      </bottom>
      <diagonal/>
    </border>
    <border>
      <left style="thin">
        <color rgb="FFC0143C"/>
      </left>
      <right/>
      <top style="thin">
        <color rgb="FFC0143C"/>
      </top>
      <bottom style="thin">
        <color rgb="FFC0143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Border="0" applyAlignment="0" applyProtection="0"/>
    <xf numFmtId="44" fontId="15" fillId="0" borderId="0" applyBorder="0" applyAlignment="0" applyProtection="0"/>
    <xf numFmtId="9" fontId="15" fillId="0" borderId="0" applyBorder="0" applyAlignment="0" applyProtection="0"/>
    <xf numFmtId="41" fontId="15" fillId="0" borderId="0" applyBorder="0" applyAlignment="0" applyProtection="0"/>
    <xf numFmtId="42" fontId="15" fillId="0" borderId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7" fillId="17" borderId="6" applyNumberFormat="0" applyAlignment="0" applyProtection="0">
      <alignment vertical="center"/>
    </xf>
    <xf numFmtId="0" fontId="28" fillId="18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2" borderId="0" xfId="0" applyFill="1"/>
    <xf numFmtId="0" fontId="1" fillId="3" borderId="0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 wrapText="1"/>
    </xf>
    <xf numFmtId="0" fontId="4" fillId="5" borderId="0" xfId="0" applyFont="1" applyFill="1" applyAlignment="1">
      <alignment vertical="center"/>
    </xf>
    <xf numFmtId="0" fontId="5" fillId="6" borderId="0" xfId="0" applyFont="1" applyFill="1"/>
    <xf numFmtId="0" fontId="6" fillId="6" borderId="0" xfId="0" applyFont="1" applyFill="1" applyAlignment="1">
      <alignment wrapText="1"/>
    </xf>
    <xf numFmtId="0" fontId="1" fillId="7" borderId="0" xfId="0" applyFont="1" applyFill="1" applyBorder="1" applyAlignment="1">
      <alignment horizontal="left" vertical="center" indent="1"/>
    </xf>
    <xf numFmtId="0" fontId="7" fillId="8" borderId="0" xfId="0" applyFont="1" applyFill="1" applyBorder="1" applyAlignment="1">
      <alignment horizontal="center"/>
    </xf>
    <xf numFmtId="0" fontId="8" fillId="9" borderId="0" xfId="0" applyFont="1" applyFill="1" applyBorder="1" applyAlignment="1">
      <alignment horizontal="center" vertical="center"/>
    </xf>
    <xf numFmtId="0" fontId="0" fillId="10" borderId="0" xfId="0" applyFill="1" applyBorder="1"/>
    <xf numFmtId="0" fontId="1" fillId="11" borderId="0" xfId="0" applyFont="1" applyFill="1" applyBorder="1" applyAlignment="1">
      <alignment horizontal="left" vertical="center" indent="1"/>
    </xf>
    <xf numFmtId="0" fontId="9" fillId="12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176" fontId="3" fillId="9" borderId="1" xfId="0" applyNumberFormat="1" applyFont="1" applyFill="1" applyBorder="1" applyAlignment="1">
      <alignment horizontal="center"/>
    </xf>
    <xf numFmtId="177" fontId="3" fillId="9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176" fontId="3" fillId="5" borderId="1" xfId="0" applyNumberFormat="1" applyFont="1" applyFill="1" applyBorder="1" applyAlignment="1">
      <alignment horizontal="center"/>
    </xf>
    <xf numFmtId="177" fontId="3" fillId="5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78" fontId="2" fillId="8" borderId="1" xfId="0" applyNumberFormat="1" applyFont="1" applyFill="1" applyBorder="1" applyAlignment="1">
      <alignment horizontal="center"/>
    </xf>
    <xf numFmtId="176" fontId="2" fillId="8" borderId="1" xfId="0" applyNumberFormat="1" applyFont="1" applyFill="1" applyBorder="1" applyAlignment="1">
      <alignment horizontal="center"/>
    </xf>
    <xf numFmtId="177" fontId="2" fillId="8" borderId="1" xfId="0" applyNumberFormat="1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10" fillId="0" borderId="0" xfId="0" applyFont="1"/>
    <xf numFmtId="0" fontId="11" fillId="13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9" fillId="1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178" fontId="14" fillId="4" borderId="1" xfId="0" applyNumberFormat="1" applyFont="1" applyFill="1" applyBorder="1" applyAlignment="1">
      <alignment horizontal="center"/>
    </xf>
    <xf numFmtId="176" fontId="13" fillId="4" borderId="1" xfId="0" applyNumberFormat="1" applyFont="1" applyFill="1" applyBorder="1" applyAlignment="1">
      <alignment horizontal="center"/>
    </xf>
    <xf numFmtId="0" fontId="0" fillId="4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B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143C"/>
      <rgbColor rgb="00FFF5F7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E0E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[cruzine_sales_report.xlsx]pivot table!PivotTable1</c:name>
    <c:fmtId val="0"/>
  </c:pivotSource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table'!$C$4</c:f>
              <c:strCache>
                <c:ptCount val="1"/>
                <c:pt idx="0">
                  <c:v>Sum of Amount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table'!$A$5:$B$17</c:f>
              <c:multiLvlStrCache>
                <c:ptCount val="6"/>
                <c:lvl>
                  <c:pt idx="0">
                    <c:v>B2B Telecaller</c:v>
                  </c:pt>
                  <c:pt idx="1">
                    <c:v>GeM Portal</c:v>
                  </c:pt>
                  <c:pt idx="2">
                    <c:v>Social Media</c:v>
                  </c:pt>
                  <c:pt idx="3">
                    <c:v>B2B Telecaller</c:v>
                  </c:pt>
                  <c:pt idx="4">
                    <c:v>B2B Telecaller</c:v>
                  </c:pt>
                  <c:pt idx="5">
                    <c:v>(blank)</c:v>
                  </c:pt>
                </c:lvl>
                <c:lvl>
                  <c:pt idx="0">
                    <c:v>D D Global</c:v>
                  </c:pt>
                  <c:pt idx="1">
                    <c:v>Employees State ...</c:v>
                  </c:pt>
                  <c:pt idx="2">
                    <c:v>Falcon Healthcare</c:v>
                  </c:pt>
                  <c:pt idx="3">
                    <c:v>Maruti Enterprises</c:v>
                  </c:pt>
                  <c:pt idx="4">
                    <c:v>Raj Enterprises</c:v>
                  </c:pt>
                  <c:pt idx="5">
                    <c:v>TOTAL</c:v>
                  </c:pt>
                </c:lvl>
              </c:multiLvlStrCache>
            </c:multiLvlStrRef>
          </c:cat>
          <c:val>
            <c:numRef>
              <c:f>'pivot table'!$C$5:$C$17</c:f>
              <c:numCache>
                <c:formatCode>General</c:formatCode>
                <c:ptCount val="6"/>
                <c:pt idx="0">
                  <c:v>23920</c:v>
                </c:pt>
                <c:pt idx="1">
                  <c:v>4378.4</c:v>
                </c:pt>
                <c:pt idx="2">
                  <c:v>46</c:v>
                </c:pt>
                <c:pt idx="3">
                  <c:v>2500</c:v>
                </c:pt>
                <c:pt idx="4">
                  <c:v>480</c:v>
                </c:pt>
                <c:pt idx="5">
                  <c:v>31324.4</c:v>
                </c:pt>
              </c:numCache>
            </c:numRef>
          </c:val>
        </c:ser>
        <c:ser>
          <c:idx val="1"/>
          <c:order val="1"/>
          <c:tx>
            <c:strRef>
              <c:f>'pivot table'!$D$4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table'!$A$5:$B$17</c:f>
              <c:multiLvlStrCache>
                <c:ptCount val="6"/>
                <c:lvl>
                  <c:pt idx="0">
                    <c:v>B2B Telecaller</c:v>
                  </c:pt>
                  <c:pt idx="1">
                    <c:v>GeM Portal</c:v>
                  </c:pt>
                  <c:pt idx="2">
                    <c:v>Social Media</c:v>
                  </c:pt>
                  <c:pt idx="3">
                    <c:v>B2B Telecaller</c:v>
                  </c:pt>
                  <c:pt idx="4">
                    <c:v>B2B Telecaller</c:v>
                  </c:pt>
                  <c:pt idx="5">
                    <c:v>(blank)</c:v>
                  </c:pt>
                </c:lvl>
                <c:lvl>
                  <c:pt idx="0">
                    <c:v>D D Global</c:v>
                  </c:pt>
                  <c:pt idx="1">
                    <c:v>Employees State ...</c:v>
                  </c:pt>
                  <c:pt idx="2">
                    <c:v>Falcon Healthcare</c:v>
                  </c:pt>
                  <c:pt idx="3">
                    <c:v>Maruti Enterprises</c:v>
                  </c:pt>
                  <c:pt idx="4">
                    <c:v>Raj Enterprises</c:v>
                  </c:pt>
                  <c:pt idx="5">
                    <c:v>TOTAL</c:v>
                  </c:pt>
                </c:lvl>
              </c:multiLvlStrCache>
            </c:multiLvlStrRef>
          </c:cat>
          <c:val>
            <c:numRef>
              <c:f>'pivot table'!$D$5:$D$17</c:f>
              <c:numCache>
                <c:formatCode>General</c:formatCode>
                <c:ptCount val="6"/>
                <c:pt idx="0">
                  <c:v>1040</c:v>
                </c:pt>
                <c:pt idx="1">
                  <c:v>200</c:v>
                </c:pt>
                <c:pt idx="2">
                  <c:v>2</c:v>
                </c:pt>
                <c:pt idx="3">
                  <c:v>100</c:v>
                </c:pt>
                <c:pt idx="4">
                  <c:v>20</c:v>
                </c:pt>
                <c:pt idx="5">
                  <c:v>1362</c:v>
                </c:pt>
              </c:numCache>
            </c:numRef>
          </c:val>
        </c:ser>
        <c:ser>
          <c:idx val="2"/>
          <c:order val="2"/>
          <c:tx>
            <c:strRef>
              <c:f>'pivot table'!$E$4</c:f>
              <c:strCache>
                <c:ptCount val="1"/>
                <c:pt idx="0">
                  <c:v>Sum of Rate 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table'!$A$5:$B$17</c:f>
              <c:multiLvlStrCache>
                <c:ptCount val="6"/>
                <c:lvl>
                  <c:pt idx="0">
                    <c:v>B2B Telecaller</c:v>
                  </c:pt>
                  <c:pt idx="1">
                    <c:v>GeM Portal</c:v>
                  </c:pt>
                  <c:pt idx="2">
                    <c:v>Social Media</c:v>
                  </c:pt>
                  <c:pt idx="3">
                    <c:v>B2B Telecaller</c:v>
                  </c:pt>
                  <c:pt idx="4">
                    <c:v>B2B Telecaller</c:v>
                  </c:pt>
                  <c:pt idx="5">
                    <c:v>(blank)</c:v>
                  </c:pt>
                </c:lvl>
                <c:lvl>
                  <c:pt idx="0">
                    <c:v>D D Global</c:v>
                  </c:pt>
                  <c:pt idx="1">
                    <c:v>Employees State ...</c:v>
                  </c:pt>
                  <c:pt idx="2">
                    <c:v>Falcon Healthcare</c:v>
                  </c:pt>
                  <c:pt idx="3">
                    <c:v>Maruti Enterprises</c:v>
                  </c:pt>
                  <c:pt idx="4">
                    <c:v>Raj Enterprises</c:v>
                  </c:pt>
                  <c:pt idx="5">
                    <c:v>TOTAL</c:v>
                  </c:pt>
                </c:lvl>
              </c:multiLvlStrCache>
            </c:multiLvlStrRef>
          </c:cat>
          <c:val>
            <c:numRef>
              <c:f>'pivot table'!$E$5:$E$17</c:f>
              <c:numCache>
                <c:formatCode>General</c:formatCode>
                <c:ptCount val="6"/>
                <c:pt idx="0">
                  <c:v>23</c:v>
                </c:pt>
                <c:pt idx="1">
                  <c:v>21.892</c:v>
                </c:pt>
                <c:pt idx="2">
                  <c:v>23</c:v>
                </c:pt>
                <c:pt idx="3">
                  <c:v>25</c:v>
                </c:pt>
                <c:pt idx="4">
                  <c:v>24</c:v>
                </c:pt>
                <c:pt idx="5">
                  <c:v>23.3784</c:v>
                </c:pt>
              </c:numCache>
            </c:numRef>
          </c:val>
        </c:ser>
        <c:ser>
          <c:idx val="3"/>
          <c:order val="3"/>
          <c:tx>
            <c:strRef>
              <c:f>'pivot table'!$F$4</c:f>
              <c:strCache>
                <c:ptCount val="1"/>
                <c:pt idx="0">
                  <c:v>Sum of Billed Amt (₹)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table'!$A$5:$B$17</c:f>
              <c:multiLvlStrCache>
                <c:ptCount val="6"/>
                <c:lvl>
                  <c:pt idx="0">
                    <c:v>B2B Telecaller</c:v>
                  </c:pt>
                  <c:pt idx="1">
                    <c:v>GeM Portal</c:v>
                  </c:pt>
                  <c:pt idx="2">
                    <c:v>Social Media</c:v>
                  </c:pt>
                  <c:pt idx="3">
                    <c:v>B2B Telecaller</c:v>
                  </c:pt>
                  <c:pt idx="4">
                    <c:v>B2B Telecaller</c:v>
                  </c:pt>
                  <c:pt idx="5">
                    <c:v>(blank)</c:v>
                  </c:pt>
                </c:lvl>
                <c:lvl>
                  <c:pt idx="0">
                    <c:v>D D Global</c:v>
                  </c:pt>
                  <c:pt idx="1">
                    <c:v>Employees State ...</c:v>
                  </c:pt>
                  <c:pt idx="2">
                    <c:v>Falcon Healthcare</c:v>
                  </c:pt>
                  <c:pt idx="3">
                    <c:v>Maruti Enterprises</c:v>
                  </c:pt>
                  <c:pt idx="4">
                    <c:v>Raj Enterprises</c:v>
                  </c:pt>
                  <c:pt idx="5">
                    <c:v>TOTAL</c:v>
                  </c:pt>
                </c:lvl>
              </c:multiLvlStrCache>
            </c:multiLvlStrRef>
          </c:cat>
          <c:val>
            <c:numRef>
              <c:f>'pivot table'!$F$5:$F$17</c:f>
              <c:numCache>
                <c:formatCode>General</c:formatCode>
                <c:ptCount val="6"/>
                <c:pt idx="0">
                  <c:v>18400</c:v>
                </c:pt>
                <c:pt idx="1">
                  <c:v>4378.4</c:v>
                </c:pt>
                <c:pt idx="2">
                  <c:v>46</c:v>
                </c:pt>
                <c:pt idx="3">
                  <c:v>2500</c:v>
                </c:pt>
                <c:pt idx="4">
                  <c:v>480</c:v>
                </c:pt>
                <c:pt idx="5">
                  <c:v>25804.4</c:v>
                </c:pt>
              </c:numCache>
            </c:numRef>
          </c:val>
        </c:ser>
        <c:ser>
          <c:idx val="4"/>
          <c:order val="4"/>
          <c:tx>
            <c:strRef>
              <c:f>'pivot table'!$G$4</c:f>
              <c:strCache>
                <c:ptCount val="1"/>
                <c:pt idx="0">
                  <c:v>Sum of % of 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table'!$A$5:$B$17</c:f>
              <c:multiLvlStrCache>
                <c:ptCount val="6"/>
                <c:lvl>
                  <c:pt idx="0">
                    <c:v>B2B Telecaller</c:v>
                  </c:pt>
                  <c:pt idx="1">
                    <c:v>GeM Portal</c:v>
                  </c:pt>
                  <c:pt idx="2">
                    <c:v>Social Media</c:v>
                  </c:pt>
                  <c:pt idx="3">
                    <c:v>B2B Telecaller</c:v>
                  </c:pt>
                  <c:pt idx="4">
                    <c:v>B2B Telecaller</c:v>
                  </c:pt>
                  <c:pt idx="5">
                    <c:v>(blank)</c:v>
                  </c:pt>
                </c:lvl>
                <c:lvl>
                  <c:pt idx="0">
                    <c:v>D D Global</c:v>
                  </c:pt>
                  <c:pt idx="1">
                    <c:v>Employees State ...</c:v>
                  </c:pt>
                  <c:pt idx="2">
                    <c:v>Falcon Healthcare</c:v>
                  </c:pt>
                  <c:pt idx="3">
                    <c:v>Maruti Enterprises</c:v>
                  </c:pt>
                  <c:pt idx="4">
                    <c:v>Raj Enterprises</c:v>
                  </c:pt>
                  <c:pt idx="5">
                    <c:v>TOTAL</c:v>
                  </c:pt>
                </c:lvl>
              </c:multiLvlStrCache>
            </c:multiLvlStrRef>
          </c:cat>
          <c:val>
            <c:numRef>
              <c:f>'pivot table'!$G$5:$G$17</c:f>
              <c:numCache>
                <c:formatCode>General</c:formatCode>
                <c:ptCount val="6"/>
                <c:pt idx="0">
                  <c:v>0.763621968816641</c:v>
                </c:pt>
                <c:pt idx="1">
                  <c:v>0.139776021248611</c:v>
                </c:pt>
                <c:pt idx="2">
                  <c:v>0.00146850378618585</c:v>
                </c:pt>
                <c:pt idx="3">
                  <c:v>0.0798099883796657</c:v>
                </c:pt>
                <c:pt idx="4">
                  <c:v>0.0153235177688958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451480"/>
        <c:axId val="17326727"/>
      </c:barChart>
      <c:catAx>
        <c:axId val="283451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26727"/>
        <c:crosses val="autoZero"/>
        <c:auto val="1"/>
        <c:lblAlgn val="ctr"/>
        <c:lblOffset val="100"/>
        <c:noMultiLvlLbl val="0"/>
      </c:catAx>
      <c:valAx>
        <c:axId val="17326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345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[cruzine_sales_report.xlsx]chanelwise analysis!PivotTable2</c:name>
    <c:fmtId val="0"/>
  </c:pivotSource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'chanelwise analysis'!$B$3</c:f>
              <c:strCache>
                <c:ptCount val="1"/>
                <c:pt idx="0">
                  <c:v>Sum of Orders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'chanelwise analysis'!$A$4:$A$7</c:f>
              <c:strCache>
                <c:ptCount val="3"/>
                <c:pt idx="0">
                  <c:v>B2B Telecaller</c:v>
                </c:pt>
                <c:pt idx="1">
                  <c:v>GeM Portal</c:v>
                </c:pt>
                <c:pt idx="2">
                  <c:v>Social Media</c:v>
                </c:pt>
              </c:strCache>
            </c:strRef>
          </c:cat>
          <c:val>
            <c:numRef>
              <c:f>'chanelwise analysis'!$B$4:$B$7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'chanelwise analysis'!$C$3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'chanelwise analysis'!$A$4:$A$7</c:f>
              <c:strCache>
                <c:ptCount val="3"/>
                <c:pt idx="0">
                  <c:v>B2B Telecaller</c:v>
                </c:pt>
                <c:pt idx="1">
                  <c:v>GeM Portal</c:v>
                </c:pt>
                <c:pt idx="2">
                  <c:v>Social Media</c:v>
                </c:pt>
              </c:strCache>
            </c:strRef>
          </c:cat>
          <c:val>
            <c:numRef>
              <c:f>'chanelwise analysis'!$C$4:$C$7</c:f>
              <c:numCache>
                <c:formatCode>General</c:formatCode>
                <c:ptCount val="3"/>
                <c:pt idx="0">
                  <c:v>1160</c:v>
                </c:pt>
                <c:pt idx="1">
                  <c:v>200</c:v>
                </c:pt>
                <c:pt idx="2">
                  <c:v>2</c:v>
                </c:pt>
              </c:numCache>
            </c:numRef>
          </c:val>
        </c:ser>
        <c:ser>
          <c:idx val="2"/>
          <c:order val="2"/>
          <c:tx>
            <c:strRef>
              <c:f>'chanelwise analysis'!$D$3</c:f>
              <c:strCache>
                <c:ptCount val="1"/>
                <c:pt idx="0">
                  <c:v>Sum of Amount (₹)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'chanelwise analysis'!$A$4:$A$7</c:f>
              <c:strCache>
                <c:ptCount val="3"/>
                <c:pt idx="0">
                  <c:v>B2B Telecaller</c:v>
                </c:pt>
                <c:pt idx="1">
                  <c:v>GeM Portal</c:v>
                </c:pt>
                <c:pt idx="2">
                  <c:v>Social Media</c:v>
                </c:pt>
              </c:strCache>
            </c:strRef>
          </c:cat>
          <c:val>
            <c:numRef>
              <c:f>'chanelwise analysis'!$D$4:$D$7</c:f>
              <c:numCache>
                <c:formatCode>General</c:formatCode>
                <c:ptCount val="3"/>
                <c:pt idx="0">
                  <c:v>26900</c:v>
                </c:pt>
                <c:pt idx="1">
                  <c:v>4378.4</c:v>
                </c:pt>
                <c:pt idx="2">
                  <c:v>46</c:v>
                </c:pt>
              </c:numCache>
            </c:numRef>
          </c:val>
        </c:ser>
        <c:ser>
          <c:idx val="3"/>
          <c:order val="3"/>
          <c:tx>
            <c:strRef>
              <c:f>'chanelwise analysis'!$E$3</c:f>
              <c:strCache>
                <c:ptCount val="1"/>
                <c:pt idx="0">
                  <c:v>Sum of % Share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'chanelwise analysis'!$A$4:$A$7</c:f>
              <c:strCache>
                <c:ptCount val="3"/>
                <c:pt idx="0">
                  <c:v>B2B Telecaller</c:v>
                </c:pt>
                <c:pt idx="1">
                  <c:v>GeM Portal</c:v>
                </c:pt>
                <c:pt idx="2">
                  <c:v>Social Media</c:v>
                </c:pt>
              </c:strCache>
            </c:strRef>
          </c:cat>
          <c:val>
            <c:numRef>
              <c:f>'chanelwise analysis'!$E$4:$E$7</c:f>
              <c:numCache>
                <c:formatCode>General</c:formatCode>
                <c:ptCount val="3"/>
                <c:pt idx="0">
                  <c:v>0.858755474965203</c:v>
                </c:pt>
                <c:pt idx="1">
                  <c:v>0.139776021248611</c:v>
                </c:pt>
                <c:pt idx="2">
                  <c:v>0.00146850378618585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03523162"/>
        <c:axId val="421647284"/>
      </c:barChart>
      <c:catAx>
        <c:axId val="3035231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1647284"/>
        <c:crosses val="autoZero"/>
        <c:auto val="1"/>
        <c:lblAlgn val="ctr"/>
        <c:lblOffset val="100"/>
        <c:noMultiLvlLbl val="0"/>
      </c:catAx>
      <c:valAx>
        <c:axId val="4216472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5231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35560</xdr:colOff>
      <xdr:row>2</xdr:row>
      <xdr:rowOff>53975</xdr:rowOff>
    </xdr:from>
    <xdr:to>
      <xdr:col>15</xdr:col>
      <xdr:colOff>527050</xdr:colOff>
      <xdr:row>19</xdr:row>
      <xdr:rowOff>168275</xdr:rowOff>
    </xdr:to>
    <xdr:graphicFrame>
      <xdr:nvGraphicFramePr>
        <xdr:cNvPr id="2" name="Chart 1"/>
        <xdr:cNvGraphicFramePr/>
      </xdr:nvGraphicFramePr>
      <xdr:xfrm>
        <a:off x="9198610" y="434975"/>
        <a:ext cx="5368290" cy="33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6350</xdr:colOff>
      <xdr:row>3</xdr:row>
      <xdr:rowOff>177800</xdr:rowOff>
    </xdr:from>
    <xdr:to>
      <xdr:col>13</xdr:col>
      <xdr:colOff>565150</xdr:colOff>
      <xdr:row>18</xdr:row>
      <xdr:rowOff>63500</xdr:rowOff>
    </xdr:to>
    <xdr:graphicFrame>
      <xdr:nvGraphicFramePr>
        <xdr:cNvPr id="2" name="Chart 1"/>
        <xdr:cNvGraphicFramePr/>
      </xdr:nvGraphicFramePr>
      <xdr:xfrm>
        <a:off x="6721475" y="749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5.5285185185" refreshedBy="PC-05" recordCount="6">
  <cacheSource type="worksheet">
    <worksheetSource ref="A8:H14" sheet="Summary &amp; Analysis"/>
  </cacheSource>
  <cacheFields count="8">
    <cacheField name="Customer Name" numFmtId="0">
      <sharedItems count="6">
        <s v="Maruti Enterprises"/>
        <s v="D D Global"/>
        <s v="Raj Enterprises"/>
        <s v="Employees State ..."/>
        <s v="Falcon Healthcare"/>
        <s v="TOTAL"/>
      </sharedItems>
    </cacheField>
    <cacheField name="Territory" numFmtId="0">
      <sharedItems containsBlank="1" count="6">
        <s v="Patna"/>
        <s v="Valsad"/>
        <s v="Ranchi"/>
        <s v="Parwanoo"/>
        <s v="Surat"/>
        <m/>
      </sharedItems>
    </cacheField>
    <cacheField name="Channel" numFmtId="0">
      <sharedItems containsBlank="1" count="4">
        <s v="B2B Telecaller"/>
        <s v="GeM Portal"/>
        <s v="Social Media"/>
        <m/>
      </sharedItems>
    </cacheField>
    <cacheField name="Quantity" numFmtId="0">
      <sharedItems containsSemiMixedTypes="0" containsString="0" containsNumber="1" containsInteger="1" minValue="2" maxValue="1362" count="6">
        <n v="100"/>
        <n v="1040"/>
        <n v="20"/>
        <n v="200"/>
        <n v="2"/>
        <n v="1362"/>
      </sharedItems>
    </cacheField>
    <cacheField name="Rate (₹)" numFmtId="0">
      <sharedItems containsSemiMixedTypes="0" containsString="0" containsNumber="1" minValue="21.892" maxValue="25" count="5">
        <n v="25"/>
        <n v="23"/>
        <n v="24"/>
        <n v="21.892"/>
        <n v="23.3784"/>
      </sharedItems>
    </cacheField>
    <cacheField name="Amount (₹)" numFmtId="176">
      <sharedItems containsSemiMixedTypes="0" containsString="0" containsNumber="1" minValue="46" maxValue="31324.4" count="6">
        <n v="2500"/>
        <n v="23920"/>
        <n v="480"/>
        <n v="4378.4"/>
        <n v="46"/>
        <n v="31324.4"/>
      </sharedItems>
    </cacheField>
    <cacheField name="Billed Amt (₹)" numFmtId="176">
      <sharedItems containsSemiMixedTypes="0" containsString="0" containsNumber="1" minValue="46" maxValue="25804.4" count="6">
        <n v="2500"/>
        <n v="18400"/>
        <n v="480"/>
        <n v="4378.4"/>
        <n v="46"/>
        <n v="25804.4"/>
      </sharedItems>
    </cacheField>
    <cacheField name="% of Total" numFmtId="177">
      <sharedItems containsSemiMixedTypes="0" containsString="0" containsNumber="1" minValue="0.00146850378618585" maxValue="1" count="6">
        <n v="0.0798099883796657"/>
        <n v="0.763621968816641"/>
        <n v="0.0153235177688958"/>
        <n v="0.139776021248611"/>
        <n v="0.00146850378618585"/>
        <n v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5.5322685185" refreshedBy="PC-05" recordCount="3">
  <cacheSource type="worksheet">
    <worksheetSource ref="A17:E20" sheet="Summary &amp; Analysis"/>
  </cacheSource>
  <cacheFields count="5">
    <cacheField name="Channel" numFmtId="0">
      <sharedItems count="3">
        <s v="B2B Telecaller"/>
        <s v="GeM Portal"/>
        <s v="Social Media"/>
      </sharedItems>
    </cacheField>
    <cacheField name="Orders" numFmtId="0">
      <sharedItems containsSemiMixedTypes="0" containsString="0" containsNumber="1" containsInteger="1" minValue="1" maxValue="3" count="2">
        <n v="3"/>
        <n v="1"/>
      </sharedItems>
    </cacheField>
    <cacheField name="Quantity" numFmtId="0">
      <sharedItems containsSemiMixedTypes="0" containsString="0" containsNumber="1" containsInteger="1" minValue="2" maxValue="1160" count="3">
        <n v="1160"/>
        <n v="200"/>
        <n v="2"/>
      </sharedItems>
    </cacheField>
    <cacheField name="Amount (₹)" numFmtId="176">
      <sharedItems containsSemiMixedTypes="0" containsString="0" containsNumber="1" minValue="46" maxValue="26900" count="3">
        <n v="26900"/>
        <n v="4378.4"/>
        <n v="46"/>
      </sharedItems>
    </cacheField>
    <cacheField name="% Share" numFmtId="177">
      <sharedItems containsSemiMixedTypes="0" containsString="0" containsNumber="1" minValue="0.00146850378618585" maxValue="0.858755474965203" count="3">
        <n v="0.858755474965203"/>
        <n v="0.139776021248611"/>
        <n v="0.0014685037861858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  <x v="0"/>
    <x v="0"/>
    <x v="0"/>
    <x v="0"/>
  </r>
  <r>
    <x v="1"/>
    <x v="1"/>
    <x v="0"/>
    <x v="1"/>
    <x v="1"/>
    <x v="1"/>
    <x v="1"/>
    <x v="1"/>
  </r>
  <r>
    <x v="2"/>
    <x v="2"/>
    <x v="0"/>
    <x v="2"/>
    <x v="2"/>
    <x v="2"/>
    <x v="2"/>
    <x v="2"/>
  </r>
  <r>
    <x v="3"/>
    <x v="3"/>
    <x v="1"/>
    <x v="3"/>
    <x v="3"/>
    <x v="3"/>
    <x v="3"/>
    <x v="3"/>
  </r>
  <r>
    <x v="4"/>
    <x v="4"/>
    <x v="2"/>
    <x v="4"/>
    <x v="1"/>
    <x v="4"/>
    <x v="4"/>
    <x v="4"/>
  </r>
  <r>
    <x v="5"/>
    <x v="5"/>
    <x v="3"/>
    <x v="5"/>
    <x v="4"/>
    <x v="5"/>
    <x v="5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x v="0"/>
    <x v="0"/>
    <x v="0"/>
    <x v="0"/>
  </r>
  <r>
    <x v="1"/>
    <x v="1"/>
    <x v="1"/>
    <x v="1"/>
    <x v="1"/>
  </r>
  <r>
    <x v="2"/>
    <x v="1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4:G17" firstHeaderRow="0" firstDataRow="1" firstDataCol="2" rowPageCount="1" colPageCount="1"/>
  <pivotFields count="8">
    <pivotField axis="axisRow" compact="0" showAll="0">
      <items count="7">
        <item x="1"/>
        <item x="3"/>
        <item x="4"/>
        <item x="0"/>
        <item x="2"/>
        <item x="5"/>
        <item t="default"/>
      </items>
    </pivotField>
    <pivotField axis="axisPage" compact="0" multipleItemSelectionAllowed="1" showAll="0">
      <items count="7">
        <item x="3"/>
        <item x="0"/>
        <item x="2"/>
        <item x="4"/>
        <item x="1"/>
        <item x="5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dataField="1" compact="0" showAll="0"/>
    <pivotField dataField="1" compact="0" showAll="0"/>
    <pivotField dataField="1" compact="0" numFmtId="176" showAll="0"/>
    <pivotField dataField="1" compact="0" numFmtId="176" showAll="0"/>
    <pivotField dataField="1" compact="0" numFmtId="177" showAll="0"/>
  </pivotFields>
  <rowFields count="2">
    <field x="0"/>
    <field x="2"/>
  </rowFields>
  <rowItems count="13">
    <i>
      <x/>
    </i>
    <i r="1">
      <x/>
    </i>
    <i>
      <x v="1"/>
    </i>
    <i r="1">
      <x v="1"/>
    </i>
    <i>
      <x v="2"/>
    </i>
    <i r="1">
      <x v="2"/>
    </i>
    <i>
      <x v="3"/>
    </i>
    <i r="1">
      <x/>
    </i>
    <i>
      <x v="4"/>
    </i>
    <i r="1">
      <x/>
    </i>
    <i>
      <x v="5"/>
    </i>
    <i r="1"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/>
  </pageFields>
  <dataFields count="5">
    <dataField name="Sum of Amount (₹)" fld="5" baseField="0" baseItem="0"/>
    <dataField name="Sum of Quantity" fld="3" baseField="0" baseItem="0"/>
    <dataField name="Sum of Rate (₹)" fld="4" baseField="0" baseItem="0"/>
    <dataField name="Sum of Billed Amt (₹)" fld="6" baseField="0" baseItem="0"/>
    <dataField name="Sum of % of Total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E7" firstHeaderRow="0" firstDataRow="1" firstDataCol="1" rowPageCount="1" colPageCount="1"/>
  <pivotFields count="5">
    <pivotField axis="axisRow" compact="0" showAll="0">
      <items count="4">
        <item x="0"/>
        <item x="1"/>
        <item x="2"/>
        <item t="default"/>
      </items>
    </pivotField>
    <pivotField axis="axisPage" dataField="1" compact="0" multipleItemSelectionAllowed="1" showAll="0">
      <items count="3">
        <item x="1"/>
        <item x="0"/>
        <item t="default"/>
      </items>
    </pivotField>
    <pivotField dataField="1" compact="0" showAll="0"/>
    <pivotField dataField="1" compact="0" numFmtId="176" showAll="0"/>
    <pivotField dataField="1" compact="0" numFmtId="177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/>
  </pageFields>
  <dataFields count="4">
    <dataField name="Sum of Orders" fld="1" baseField="0" baseItem="0"/>
    <dataField name="Sum of Quantity" fld="2" baseField="0" baseItem="0"/>
    <dataField name="Sum of Amount (₹)" fld="3" baseField="0" baseItem="0"/>
    <dataField name="Sum of % Share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4:N10" totalsRowShown="0">
  <autoFilter xmlns:etc="http://www.wps.cn/officeDocument/2017/etCustomData" ref="A4:N10" etc:filterBottomFollowUsedRange="0"/>
  <tableColumns count="14">
    <tableColumn id="1" name="Number"/>
    <tableColumn id="2" name="Item Code"/>
    <tableColumn id="3" name="Item Name"/>
    <tableColumn id="4" name="Item Group"/>
    <tableColumn id="5" name="Description"/>
    <tableColumn id="6" name="Qty (Nos)"/>
    <tableColumn id="7" name="Rate (₹)"/>
    <tableColumn id="8" name="Amount (₹)"/>
    <tableColumn id="9" name="Sales Order"/>
    <tableColumn id="10" name="Transaction Date"/>
    <tableColumn id="11" name="Customer"/>
    <tableColumn id="12" name="Customer Name"/>
    <tableColumn id="13" name="Customer Group"/>
    <tableColumn id="14" name="Territory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7:H14" totalsRowShown="0">
  <autoFilter xmlns:etc="http://www.wps.cn/officeDocument/2017/etCustomData" ref="A7:H14" etc:filterBottomFollowUsedRange="0"/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6:E21" totalsRowShown="0">
  <autoFilter xmlns:etc="http://www.wps.cn/officeDocument/2017/etCustomData" ref="A16:E21" etc:filterBottomFollowUsedRange="0"/>
  <tableColumns count="5">
    <tableColumn id="1" name="Channel-wise Summary"/>
    <tableColumn id="2" name="Column1"/>
    <tableColumn id="3" name="Column2"/>
    <tableColumn id="4" name="Column3"/>
    <tableColumn id="5" name="Column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E29" sqref="E29"/>
    </sheetView>
  </sheetViews>
  <sheetFormatPr defaultColWidth="8.67619047619048" defaultRowHeight="15"/>
  <cols>
    <col min="1" max="1" width="9.28571428571429" customWidth="1"/>
    <col min="2" max="2" width="30" customWidth="1"/>
    <col min="3" max="3" width="28" customWidth="1"/>
    <col min="4" max="4" width="14" customWidth="1"/>
    <col min="5" max="5" width="28" customWidth="1"/>
    <col min="6" max="7" width="10" customWidth="1"/>
    <col min="8" max="8" width="13" customWidth="1"/>
    <col min="9" max="10" width="14" customWidth="1"/>
    <col min="11" max="11" width="13" customWidth="1"/>
    <col min="12" max="12" width="22" customWidth="1"/>
    <col min="13" max="13" width="16" customWidth="1"/>
    <col min="14" max="14" width="12" customWidth="1"/>
  </cols>
  <sheetData>
    <row r="1" ht="30" customHeight="1" spans="1:14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ht="18" customHeight="1" spans="1:14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4" ht="21.75" customHeight="1" spans="1:14">
      <c r="A4" s="32" t="s">
        <v>2</v>
      </c>
      <c r="B4" s="32" t="s">
        <v>3</v>
      </c>
      <c r="C4" s="32" t="s">
        <v>4</v>
      </c>
      <c r="D4" s="32" t="s">
        <v>5</v>
      </c>
      <c r="E4" s="32" t="s">
        <v>6</v>
      </c>
      <c r="F4" s="32" t="s">
        <v>7</v>
      </c>
      <c r="G4" s="32" t="s">
        <v>8</v>
      </c>
      <c r="H4" s="32" t="s">
        <v>9</v>
      </c>
      <c r="I4" s="32" t="s">
        <v>10</v>
      </c>
      <c r="J4" s="32" t="s">
        <v>11</v>
      </c>
      <c r="K4" s="32" t="s">
        <v>12</v>
      </c>
      <c r="L4" s="32" t="s">
        <v>13</v>
      </c>
      <c r="M4" s="32" t="s">
        <v>14</v>
      </c>
      <c r="N4" s="32" t="s">
        <v>15</v>
      </c>
    </row>
    <row r="5" ht="18" customHeight="1" spans="1:14">
      <c r="A5" s="17">
        <v>1</v>
      </c>
      <c r="B5" s="16" t="s">
        <v>16</v>
      </c>
      <c r="C5" s="16" t="s">
        <v>17</v>
      </c>
      <c r="D5" s="16" t="s">
        <v>18</v>
      </c>
      <c r="E5" s="16" t="s">
        <v>17</v>
      </c>
      <c r="F5" s="17">
        <v>100</v>
      </c>
      <c r="G5" s="18">
        <v>25</v>
      </c>
      <c r="H5" s="18">
        <v>2500</v>
      </c>
      <c r="I5" s="16" t="s">
        <v>19</v>
      </c>
      <c r="J5" s="17" t="s">
        <v>20</v>
      </c>
      <c r="K5" s="16" t="s">
        <v>21</v>
      </c>
      <c r="L5" s="16" t="s">
        <v>22</v>
      </c>
      <c r="M5" s="16" t="s">
        <v>23</v>
      </c>
      <c r="N5" s="17" t="s">
        <v>24</v>
      </c>
    </row>
    <row r="6" ht="18" customHeight="1" spans="1:14">
      <c r="A6" s="21">
        <v>2</v>
      </c>
      <c r="B6" s="20" t="s">
        <v>16</v>
      </c>
      <c r="C6" s="20" t="s">
        <v>17</v>
      </c>
      <c r="D6" s="20" t="s">
        <v>18</v>
      </c>
      <c r="E6" s="20" t="s">
        <v>17</v>
      </c>
      <c r="F6" s="21">
        <v>1040</v>
      </c>
      <c r="G6" s="22">
        <v>23</v>
      </c>
      <c r="H6" s="22">
        <v>23920</v>
      </c>
      <c r="I6" s="20" t="s">
        <v>19</v>
      </c>
      <c r="J6" s="21" t="s">
        <v>25</v>
      </c>
      <c r="K6" s="20" t="s">
        <v>26</v>
      </c>
      <c r="L6" s="20" t="s">
        <v>26</v>
      </c>
      <c r="M6" s="20" t="s">
        <v>23</v>
      </c>
      <c r="N6" s="21" t="s">
        <v>27</v>
      </c>
    </row>
    <row r="7" ht="18" customHeight="1" spans="1:14">
      <c r="A7" s="17">
        <v>3</v>
      </c>
      <c r="B7" s="16" t="s">
        <v>16</v>
      </c>
      <c r="C7" s="16" t="s">
        <v>17</v>
      </c>
      <c r="D7" s="16" t="s">
        <v>18</v>
      </c>
      <c r="E7" s="16" t="s">
        <v>17</v>
      </c>
      <c r="F7" s="17">
        <v>20</v>
      </c>
      <c r="G7" s="18">
        <v>24</v>
      </c>
      <c r="H7" s="18">
        <v>480</v>
      </c>
      <c r="I7" s="16" t="s">
        <v>19</v>
      </c>
      <c r="J7" s="17" t="s">
        <v>28</v>
      </c>
      <c r="K7" s="16" t="s">
        <v>29</v>
      </c>
      <c r="L7" s="16" t="s">
        <v>30</v>
      </c>
      <c r="M7" s="16" t="s">
        <v>23</v>
      </c>
      <c r="N7" s="17" t="s">
        <v>31</v>
      </c>
    </row>
    <row r="8" ht="18" customHeight="1" spans="1:14">
      <c r="A8" s="21">
        <v>4</v>
      </c>
      <c r="B8" s="20" t="s">
        <v>16</v>
      </c>
      <c r="C8" s="20" t="s">
        <v>17</v>
      </c>
      <c r="D8" s="20" t="s">
        <v>18</v>
      </c>
      <c r="E8" s="20" t="s">
        <v>17</v>
      </c>
      <c r="F8" s="21">
        <v>200</v>
      </c>
      <c r="G8" s="22">
        <v>21.892</v>
      </c>
      <c r="H8" s="22">
        <v>4378.4</v>
      </c>
      <c r="I8" s="20" t="s">
        <v>32</v>
      </c>
      <c r="J8" s="21" t="s">
        <v>33</v>
      </c>
      <c r="K8" s="20" t="s">
        <v>34</v>
      </c>
      <c r="L8" s="20" t="s">
        <v>35</v>
      </c>
      <c r="M8" s="20" t="s">
        <v>36</v>
      </c>
      <c r="N8" s="21" t="s">
        <v>37</v>
      </c>
    </row>
    <row r="9" ht="18" customHeight="1" spans="1:14">
      <c r="A9" s="17">
        <v>5</v>
      </c>
      <c r="B9" s="16" t="s">
        <v>16</v>
      </c>
      <c r="C9" s="16" t="s">
        <v>17</v>
      </c>
      <c r="D9" s="16" t="s">
        <v>18</v>
      </c>
      <c r="E9" s="16" t="s">
        <v>17</v>
      </c>
      <c r="F9" s="17">
        <v>2</v>
      </c>
      <c r="G9" s="18">
        <v>23</v>
      </c>
      <c r="H9" s="18">
        <v>46</v>
      </c>
      <c r="I9" s="16" t="s">
        <v>19</v>
      </c>
      <c r="J9" s="17" t="s">
        <v>38</v>
      </c>
      <c r="K9" s="16" t="s">
        <v>39</v>
      </c>
      <c r="L9" s="16" t="s">
        <v>40</v>
      </c>
      <c r="M9" s="16" t="s">
        <v>41</v>
      </c>
      <c r="N9" s="17" t="s">
        <v>42</v>
      </c>
    </row>
    <row r="10" ht="19.5" customHeight="1" spans="1:14">
      <c r="A10" s="33" t="s">
        <v>43</v>
      </c>
      <c r="B10" s="33"/>
      <c r="C10" s="33"/>
      <c r="D10" s="33"/>
      <c r="E10" s="33"/>
      <c r="F10" s="34">
        <f>SUM(F5:F9)</f>
        <v>1362</v>
      </c>
      <c r="G10" s="35">
        <f>AVERAGE(G5:G9)</f>
        <v>23.3784</v>
      </c>
      <c r="H10" s="36">
        <f>SUM(H5:H9)</f>
        <v>31324.4</v>
      </c>
      <c r="I10" s="37"/>
      <c r="J10" s="37"/>
      <c r="K10" s="37"/>
      <c r="L10" s="37"/>
      <c r="M10" s="37"/>
      <c r="N10" s="37"/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7"/>
  <sheetViews>
    <sheetView tabSelected="1" workbookViewId="0">
      <selection activeCell="F5" sqref="F5"/>
    </sheetView>
  </sheetViews>
  <sheetFormatPr defaultColWidth="9.14285714285714" defaultRowHeight="15" outlineLevelCol="6"/>
  <cols>
    <col min="1" max="2" width="14.4285714285714"/>
    <col min="3" max="7" width="21.7142857142857"/>
  </cols>
  <sheetData>
    <row r="2" spans="1:7">
      <c r="A2" t="s">
        <v>15</v>
      </c>
      <c r="B2" t="s">
        <v>44</v>
      </c>
    </row>
    <row r="4" spans="1:7">
      <c r="A4" t="s">
        <v>13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</row>
    <row r="5" spans="1:7">
      <c r="A5" t="s">
        <v>26</v>
      </c>
      <c r="B5"/>
      <c r="C5">
        <v>23920</v>
      </c>
      <c r="D5">
        <v>1040</v>
      </c>
      <c r="E5">
        <v>23</v>
      </c>
      <c r="F5">
        <v>18400</v>
      </c>
      <c r="G5">
        <v>0.763621968816641</v>
      </c>
    </row>
    <row r="6" spans="1:7">
      <c r="B6" t="s">
        <v>23</v>
      </c>
      <c r="C6">
        <v>23920</v>
      </c>
      <c r="D6">
        <v>1040</v>
      </c>
      <c r="E6">
        <v>23</v>
      </c>
      <c r="F6">
        <v>18400</v>
      </c>
      <c r="G6">
        <v>0.763621968816641</v>
      </c>
    </row>
    <row r="7" spans="1:7">
      <c r="A7" t="s">
        <v>35</v>
      </c>
      <c r="B7"/>
      <c r="C7">
        <v>4378.4</v>
      </c>
      <c r="D7">
        <v>200</v>
      </c>
      <c r="E7">
        <v>21.892</v>
      </c>
      <c r="F7">
        <v>4378.4</v>
      </c>
      <c r="G7">
        <v>0.139776021248611</v>
      </c>
    </row>
    <row r="8" spans="1:7">
      <c r="B8" t="s">
        <v>36</v>
      </c>
      <c r="C8">
        <v>4378.4</v>
      </c>
      <c r="D8">
        <v>200</v>
      </c>
      <c r="E8">
        <v>21.892</v>
      </c>
      <c r="F8">
        <v>4378.4</v>
      </c>
      <c r="G8">
        <v>0.139776021248611</v>
      </c>
    </row>
    <row r="9" spans="1:7">
      <c r="A9" t="s">
        <v>40</v>
      </c>
      <c r="B9"/>
      <c r="C9">
        <v>46</v>
      </c>
      <c r="D9">
        <v>2</v>
      </c>
      <c r="E9">
        <v>23</v>
      </c>
      <c r="F9">
        <v>46</v>
      </c>
      <c r="G9">
        <v>0.00146850378618585</v>
      </c>
    </row>
    <row r="10" spans="1:7">
      <c r="B10" t="s">
        <v>41</v>
      </c>
      <c r="C10">
        <v>46</v>
      </c>
      <c r="D10">
        <v>2</v>
      </c>
      <c r="E10">
        <v>23</v>
      </c>
      <c r="F10">
        <v>46</v>
      </c>
      <c r="G10">
        <v>0.00146850378618585</v>
      </c>
    </row>
    <row r="11" spans="1:7">
      <c r="A11" t="s">
        <v>22</v>
      </c>
      <c r="B11"/>
      <c r="C11">
        <v>2500</v>
      </c>
      <c r="D11">
        <v>100</v>
      </c>
      <c r="E11">
        <v>25</v>
      </c>
      <c r="F11">
        <v>2500</v>
      </c>
      <c r="G11">
        <v>0.0798099883796657</v>
      </c>
    </row>
    <row r="12" spans="1:7">
      <c r="B12" t="s">
        <v>23</v>
      </c>
      <c r="C12">
        <v>2500</v>
      </c>
      <c r="D12">
        <v>100</v>
      </c>
      <c r="E12">
        <v>25</v>
      </c>
      <c r="F12">
        <v>2500</v>
      </c>
      <c r="G12">
        <v>0.0798099883796657</v>
      </c>
    </row>
    <row r="13" spans="1:7">
      <c r="A13" t="s">
        <v>30</v>
      </c>
      <c r="B13"/>
      <c r="C13">
        <v>480</v>
      </c>
      <c r="D13">
        <v>20</v>
      </c>
      <c r="E13">
        <v>24</v>
      </c>
      <c r="F13">
        <v>480</v>
      </c>
      <c r="G13">
        <v>0.0153235177688958</v>
      </c>
    </row>
    <row r="14" spans="1:7">
      <c r="B14" t="s">
        <v>23</v>
      </c>
      <c r="C14">
        <v>480</v>
      </c>
      <c r="D14">
        <v>20</v>
      </c>
      <c r="E14">
        <v>24</v>
      </c>
      <c r="F14">
        <v>480</v>
      </c>
      <c r="G14">
        <v>0.0153235177688958</v>
      </c>
    </row>
    <row r="15" spans="1:7">
      <c r="A15" t="s">
        <v>43</v>
      </c>
      <c r="B15"/>
      <c r="C15">
        <v>31324.4</v>
      </c>
      <c r="D15">
        <v>1362</v>
      </c>
      <c r="E15">
        <v>23.3784</v>
      </c>
      <c r="F15">
        <v>25804.4</v>
      </c>
      <c r="G15">
        <v>1</v>
      </c>
    </row>
    <row r="16" spans="1:7">
      <c r="B16" t="s">
        <v>51</v>
      </c>
      <c r="C16">
        <v>31324.4</v>
      </c>
      <c r="D16">
        <v>1362</v>
      </c>
      <c r="E16">
        <v>23.3784</v>
      </c>
      <c r="F16">
        <v>25804.4</v>
      </c>
      <c r="G16">
        <v>1</v>
      </c>
    </row>
    <row r="17" spans="1:7">
      <c r="A17" t="s">
        <v>52</v>
      </c>
      <c r="B17"/>
      <c r="C17">
        <v>62648.8</v>
      </c>
      <c r="D17">
        <v>2724</v>
      </c>
      <c r="E17">
        <v>140.2704</v>
      </c>
      <c r="F17">
        <v>51608.8</v>
      </c>
      <c r="G17">
        <v>2</v>
      </c>
    </row>
  </sheetData>
  <pageMargins left="0.75" right="0.75" top="1" bottom="1" header="0.5" footer="0.5"/>
  <pageSetup paperSize="1" orientation="portrait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I27" sqref="I27"/>
    </sheetView>
  </sheetViews>
  <sheetFormatPr defaultColWidth="9.14285714285714" defaultRowHeight="15" outlineLevelRow="6" outlineLevelCol="4"/>
  <cols>
    <col min="1" max="1" width="14.4285714285714"/>
    <col min="2" max="5" width="19.2857142857143"/>
  </cols>
  <sheetData>
    <row r="1" spans="1:5">
      <c r="A1" t="s">
        <v>53</v>
      </c>
      <c r="B1" t="s">
        <v>44</v>
      </c>
    </row>
    <row r="3" spans="1:5">
      <c r="A3" t="s">
        <v>45</v>
      </c>
      <c r="B3" t="s">
        <v>54</v>
      </c>
      <c r="C3" t="s">
        <v>47</v>
      </c>
      <c r="D3" t="s">
        <v>46</v>
      </c>
      <c r="E3" t="s">
        <v>55</v>
      </c>
    </row>
    <row r="4" spans="1:5">
      <c r="A4" t="s">
        <v>23</v>
      </c>
      <c r="B4">
        <v>3</v>
      </c>
      <c r="C4">
        <v>1160</v>
      </c>
      <c r="D4">
        <v>26900</v>
      </c>
      <c r="E4">
        <v>0.858755474965203</v>
      </c>
    </row>
    <row r="5" spans="1:5">
      <c r="A5" t="s">
        <v>36</v>
      </c>
      <c r="B5">
        <v>1</v>
      </c>
      <c r="C5">
        <v>200</v>
      </c>
      <c r="D5">
        <v>4378.4</v>
      </c>
      <c r="E5">
        <v>0.139776021248611</v>
      </c>
    </row>
    <row r="6" spans="1:5">
      <c r="A6" t="s">
        <v>41</v>
      </c>
      <c r="B6">
        <v>1</v>
      </c>
      <c r="C6">
        <v>2</v>
      </c>
      <c r="D6">
        <v>46</v>
      </c>
      <c r="E6">
        <v>0.00146850378618585</v>
      </c>
    </row>
    <row r="7" spans="1:5">
      <c r="A7" t="s">
        <v>52</v>
      </c>
      <c r="B7">
        <v>5</v>
      </c>
      <c r="C7">
        <v>1362</v>
      </c>
      <c r="D7">
        <v>31324.4</v>
      </c>
      <c r="E7">
        <v>1</v>
      </c>
    </row>
  </sheetData>
  <pageMargins left="0.75" right="0.75" top="1" bottom="1" header="0.5" footer="0.5"/>
  <pageSetup paperSize="1" orientation="portrait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H8" sqref="H8"/>
    </sheetView>
  </sheetViews>
  <sheetFormatPr defaultColWidth="8.67619047619048" defaultRowHeight="15"/>
  <cols>
    <col min="1" max="1" width="22" customWidth="1"/>
    <col min="2" max="2" width="12" customWidth="1"/>
    <col min="3" max="3" width="16" customWidth="1"/>
    <col min="4" max="5" width="12" customWidth="1"/>
    <col min="6" max="7" width="14" customWidth="1"/>
    <col min="8" max="10" width="12" customWidth="1"/>
  </cols>
  <sheetData>
    <row r="1" ht="21.75" customHeight="1" spans="1:10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</row>
    <row r="3" ht="13.5" customHeight="1" spans="1:10">
      <c r="A3" s="11" t="s">
        <v>57</v>
      </c>
      <c r="B3" s="11"/>
      <c r="C3" s="11" t="s">
        <v>58</v>
      </c>
      <c r="D3" s="11"/>
      <c r="E3" s="11" t="s">
        <v>59</v>
      </c>
      <c r="F3" s="11"/>
      <c r="G3" s="11" t="s">
        <v>60</v>
      </c>
      <c r="H3" s="11"/>
      <c r="I3" s="11" t="s">
        <v>61</v>
      </c>
      <c r="J3" s="11"/>
    </row>
    <row r="4" ht="27.75" customHeight="1" spans="1:10">
      <c r="A4" s="12" t="s">
        <v>62</v>
      </c>
      <c r="B4" s="12"/>
      <c r="C4" s="12" t="s">
        <v>63</v>
      </c>
      <c r="D4" s="12"/>
      <c r="E4" s="12" t="s">
        <v>64</v>
      </c>
      <c r="F4" s="12"/>
      <c r="G4" s="12" t="s">
        <v>65</v>
      </c>
      <c r="H4" s="12"/>
      <c r="I4" s="12" t="s">
        <v>66</v>
      </c>
      <c r="J4" s="12"/>
    </row>
    <row r="5" ht="21.75" customHeight="1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7" ht="21.75" customHeight="1" spans="1:10">
      <c r="A7" s="14" t="s">
        <v>67</v>
      </c>
      <c r="B7" s="14" t="s">
        <v>68</v>
      </c>
      <c r="C7" s="14" t="s">
        <v>69</v>
      </c>
      <c r="D7" s="14" t="s">
        <v>70</v>
      </c>
      <c r="E7" s="14" t="s">
        <v>71</v>
      </c>
      <c r="F7" s="14" t="s">
        <v>72</v>
      </c>
      <c r="G7" s="14" t="s">
        <v>73</v>
      </c>
      <c r="H7" s="14" t="s">
        <v>74</v>
      </c>
    </row>
    <row r="8" ht="19.5" customHeight="1" spans="1:10">
      <c r="A8" s="15" t="s">
        <v>13</v>
      </c>
      <c r="B8" s="15" t="s">
        <v>15</v>
      </c>
      <c r="C8" s="15" t="s">
        <v>45</v>
      </c>
      <c r="D8" s="15" t="s">
        <v>75</v>
      </c>
      <c r="E8" s="15" t="s">
        <v>8</v>
      </c>
      <c r="F8" s="15" t="s">
        <v>9</v>
      </c>
      <c r="G8" s="15" t="s">
        <v>76</v>
      </c>
      <c r="H8" s="15" t="s">
        <v>77</v>
      </c>
    </row>
    <row r="9" ht="16.5" customHeight="1" spans="1:10">
      <c r="A9" s="16" t="s">
        <v>22</v>
      </c>
      <c r="B9" s="16" t="s">
        <v>24</v>
      </c>
      <c r="C9" s="16" t="s">
        <v>23</v>
      </c>
      <c r="D9" s="17">
        <v>100</v>
      </c>
      <c r="E9" s="18">
        <v>25</v>
      </c>
      <c r="F9" s="18">
        <v>2500</v>
      </c>
      <c r="G9" s="18">
        <v>2500</v>
      </c>
      <c r="H9" s="19">
        <f>F9/SUM($F$9:$F$13)</f>
        <v>0.0798099883796657</v>
      </c>
    </row>
    <row r="10" ht="16.5" customHeight="1" spans="1:10">
      <c r="A10" s="20" t="s">
        <v>26</v>
      </c>
      <c r="B10" s="20" t="s">
        <v>27</v>
      </c>
      <c r="C10" s="20" t="s">
        <v>23</v>
      </c>
      <c r="D10" s="21">
        <v>1040</v>
      </c>
      <c r="E10" s="22">
        <v>23</v>
      </c>
      <c r="F10" s="22">
        <v>23920</v>
      </c>
      <c r="G10" s="22">
        <v>18400</v>
      </c>
      <c r="H10" s="23">
        <f>F10/SUM($F$9:$F$13)</f>
        <v>0.763621968816641</v>
      </c>
    </row>
    <row r="11" ht="16.5" customHeight="1" spans="1:10">
      <c r="A11" s="16" t="s">
        <v>30</v>
      </c>
      <c r="B11" s="16" t="s">
        <v>31</v>
      </c>
      <c r="C11" s="16" t="s">
        <v>23</v>
      </c>
      <c r="D11" s="17">
        <v>20</v>
      </c>
      <c r="E11" s="18">
        <v>24</v>
      </c>
      <c r="F11" s="18">
        <v>480</v>
      </c>
      <c r="G11" s="18">
        <v>480</v>
      </c>
      <c r="H11" s="19">
        <f>F11/SUM($F$9:$F$13)</f>
        <v>0.0153235177688958</v>
      </c>
    </row>
    <row r="12" ht="16.5" customHeight="1" spans="1:10">
      <c r="A12" s="20" t="s">
        <v>35</v>
      </c>
      <c r="B12" s="20" t="s">
        <v>37</v>
      </c>
      <c r="C12" s="20" t="s">
        <v>36</v>
      </c>
      <c r="D12" s="21">
        <v>200</v>
      </c>
      <c r="E12" s="22">
        <v>21.892</v>
      </c>
      <c r="F12" s="22">
        <v>4378.4</v>
      </c>
      <c r="G12" s="22">
        <v>4378.4</v>
      </c>
      <c r="H12" s="23">
        <f>F12/SUM($F$9:$F$13)</f>
        <v>0.139776021248611</v>
      </c>
    </row>
    <row r="13" ht="16.5" customHeight="1" spans="1:10">
      <c r="A13" s="16" t="s">
        <v>40</v>
      </c>
      <c r="B13" s="16" t="s">
        <v>42</v>
      </c>
      <c r="C13" s="16" t="s">
        <v>41</v>
      </c>
      <c r="D13" s="17">
        <v>2</v>
      </c>
      <c r="E13" s="18">
        <v>23</v>
      </c>
      <c r="F13" s="18">
        <v>46</v>
      </c>
      <c r="G13" s="18">
        <v>46</v>
      </c>
      <c r="H13" s="19">
        <f>F13/SUM($F$9:$F$13)</f>
        <v>0.00146850378618585</v>
      </c>
    </row>
    <row r="14" ht="19.5" customHeight="1" spans="1:10">
      <c r="A14" s="24" t="s">
        <v>43</v>
      </c>
      <c r="B14" s="24"/>
      <c r="C14" s="24"/>
      <c r="D14" s="24">
        <f>SUM(D9:D13)</f>
        <v>1362</v>
      </c>
      <c r="E14" s="25">
        <f>AVERAGE(E9:E13)</f>
        <v>23.3784</v>
      </c>
      <c r="F14" s="26">
        <f>SUM(F9:F13)</f>
        <v>31324.4</v>
      </c>
      <c r="G14" s="26">
        <f>SUM(G9:G13)</f>
        <v>25804.4</v>
      </c>
      <c r="H14" s="27">
        <f>SUM(H9:H13)</f>
        <v>1</v>
      </c>
    </row>
    <row r="16" ht="21.75" customHeight="1" spans="1:10">
      <c r="A16" s="14" t="s">
        <v>78</v>
      </c>
      <c r="B16" s="14" t="s">
        <v>67</v>
      </c>
      <c r="C16" s="14" t="s">
        <v>68</v>
      </c>
      <c r="D16" s="14" t="s">
        <v>69</v>
      </c>
      <c r="E16" s="14" t="s">
        <v>70</v>
      </c>
    </row>
    <row r="17" spans="1:5">
      <c r="A17" s="28" t="s">
        <v>45</v>
      </c>
      <c r="B17" s="28" t="s">
        <v>53</v>
      </c>
      <c r="C17" s="28" t="s">
        <v>75</v>
      </c>
      <c r="D17" s="28" t="s">
        <v>9</v>
      </c>
      <c r="E17" s="28" t="s">
        <v>79</v>
      </c>
    </row>
    <row r="18" ht="16.5" customHeight="1" spans="1:5">
      <c r="A18" s="16" t="s">
        <v>23</v>
      </c>
      <c r="B18" s="17">
        <v>3</v>
      </c>
      <c r="C18" s="17">
        <v>1160</v>
      </c>
      <c r="D18" s="18">
        <v>26900</v>
      </c>
      <c r="E18" s="19">
        <f>D18/SUM($D$18:$D$20)</f>
        <v>0.858755474965203</v>
      </c>
    </row>
    <row r="19" ht="16.5" customHeight="1" spans="1:5">
      <c r="A19" s="20" t="s">
        <v>36</v>
      </c>
      <c r="B19" s="21">
        <v>1</v>
      </c>
      <c r="C19" s="21">
        <v>200</v>
      </c>
      <c r="D19" s="22">
        <v>4378.4</v>
      </c>
      <c r="E19" s="23">
        <f>D19/SUM($D$18:$D$20)</f>
        <v>0.139776021248611</v>
      </c>
    </row>
    <row r="20" ht="16.5" customHeight="1" spans="1:5">
      <c r="A20" s="16" t="s">
        <v>41</v>
      </c>
      <c r="B20" s="17">
        <v>1</v>
      </c>
      <c r="C20" s="17">
        <v>2</v>
      </c>
      <c r="D20" s="18">
        <v>46</v>
      </c>
      <c r="E20" s="19">
        <f>D20/SUM($D$18:$D$20)</f>
        <v>0.00146850378618585</v>
      </c>
    </row>
    <row r="21" spans="1:5">
      <c r="A21" s="29" t="s">
        <v>43</v>
      </c>
      <c r="B21">
        <f>SUM(B18:B20)</f>
        <v>5</v>
      </c>
      <c r="C21">
        <f>SUM(C18:C20)</f>
        <v>1362</v>
      </c>
      <c r="D21">
        <f>SUM(D18:D20)</f>
        <v>31324.4</v>
      </c>
      <c r="E21">
        <f>SUM(E18:E20)</f>
        <v>1</v>
      </c>
    </row>
  </sheetData>
  <mergeCells count="16">
    <mergeCell ref="A1:J1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</mergeCells>
  <pageMargins left="0.75" right="0.75" top="1" bottom="1" header="0.511811023622047" footer="0.511811023622047"/>
  <pageSetup paperSize="9" orientation="portrait" horizontalDpi="300" verticalDpi="300"/>
  <headerFooter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24" sqref="B24"/>
    </sheetView>
  </sheetViews>
  <sheetFormatPr defaultColWidth="8.67619047619048" defaultRowHeight="15" outlineLevelCol="5"/>
  <cols>
    <col min="1" max="1" width="22" customWidth="1"/>
    <col min="2" max="2" width="116.714285714286" customWidth="1"/>
  </cols>
  <sheetData>
    <row r="1" ht="21.75" customHeight="1" spans="1:6">
      <c r="A1" s="2" t="s">
        <v>80</v>
      </c>
      <c r="B1" s="2"/>
      <c r="C1" s="2"/>
      <c r="D1" s="2"/>
      <c r="E1" s="2"/>
      <c r="F1" s="2"/>
    </row>
    <row r="2" ht="7.5" customHeight="1"/>
    <row r="3" ht="21.75" customHeight="1" spans="1:6">
      <c r="A3" s="3" t="s">
        <v>81</v>
      </c>
      <c r="B3" s="4" t="s">
        <v>82</v>
      </c>
    </row>
    <row r="4" ht="21.75" customHeight="1" spans="1:6">
      <c r="A4" s="5" t="s">
        <v>83</v>
      </c>
      <c r="B4" s="6" t="s">
        <v>84</v>
      </c>
    </row>
    <row r="5" ht="21.75" customHeight="1" spans="1:6">
      <c r="A5" s="3" t="s">
        <v>85</v>
      </c>
      <c r="B5" s="4" t="s">
        <v>86</v>
      </c>
    </row>
    <row r="6" ht="21.75" customHeight="1" spans="1:6">
      <c r="A6" s="5" t="s">
        <v>87</v>
      </c>
      <c r="B6" s="6" t="s">
        <v>88</v>
      </c>
    </row>
    <row r="7" ht="21.75" customHeight="1" spans="1:6">
      <c r="A7" s="3" t="s">
        <v>89</v>
      </c>
      <c r="B7" s="4" t="s">
        <v>90</v>
      </c>
    </row>
    <row r="8" ht="21.75" customHeight="1" spans="1:6">
      <c r="A8" s="5" t="s">
        <v>91</v>
      </c>
      <c r="B8" s="6" t="s">
        <v>92</v>
      </c>
    </row>
    <row r="9" ht="21.75" customHeight="1" spans="1:6">
      <c r="A9" s="3" t="s">
        <v>93</v>
      </c>
      <c r="B9" s="4" t="s">
        <v>94</v>
      </c>
    </row>
    <row r="10" ht="21.75" customHeight="1" spans="1:6">
      <c r="A10" s="5" t="s">
        <v>95</v>
      </c>
      <c r="B10" s="6" t="s">
        <v>96</v>
      </c>
    </row>
    <row r="11" ht="21.75" customHeight="1" spans="1:6">
      <c r="A11" s="3" t="s">
        <v>97</v>
      </c>
      <c r="B11" s="4" t="s">
        <v>98</v>
      </c>
    </row>
    <row r="12" ht="26" customHeight="1" spans="1:6">
      <c r="A12" s="7" t="s">
        <v>99</v>
      </c>
      <c r="B12" s="6" t="s">
        <v>100</v>
      </c>
    </row>
    <row r="13" s="1" customFormat="1" ht="27" customHeight="1" spans="1:6">
      <c r="A13" s="8" t="s">
        <v>101</v>
      </c>
      <c r="B13" s="9" t="s">
        <v>102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Sales Transactions</vt:lpstr>
      <vt:lpstr>pivot table</vt:lpstr>
      <vt:lpstr>chanelwise analysis</vt:lpstr>
      <vt:lpstr>Summary &amp; Analysis</vt:lpstr>
      <vt:lpstr>Key 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PC-05</cp:lastModifiedBy>
  <cp:revision>0</cp:revision>
  <dcterms:created xsi:type="dcterms:W3CDTF">2026-04-03T07:06:00Z</dcterms:created>
  <dcterms:modified xsi:type="dcterms:W3CDTF">2026-04-03T09:20:33Z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EAA728C9FE44436F9BCF468FFCE66C39_13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